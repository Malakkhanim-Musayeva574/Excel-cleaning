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8_{C814A364-A6F4-4925-A81B-C961310E0BF7}" xr6:coauthVersionLast="47" xr6:coauthVersionMax="47" xr10:uidLastSave="{00000000-0000-0000-0000-000000000000}"/>
  <bookViews>
    <workbookView xWindow="-108" yWindow="-108" windowWidth="23256" windowHeight="13896" xr2:uid="{443F0921-5BAC-4526-867A-403FCD85F707}"/>
  </bookViews>
  <sheets>
    <sheet name="Sheet3" sheetId="3" r:id="rId1"/>
    <sheet name="Sheet1" sheetId="1" r:id="rId2"/>
    <sheet name="Sheet2" sheetId="2" r:id="rId3"/>
  </sheets>
  <definedNames>
    <definedName name="Slicer_City">#N/A</definedName>
    <definedName name="Slicer_Department">#N/A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L2" i="1"/>
  <c r="K2" i="1"/>
</calcChain>
</file>

<file path=xl/sharedStrings.xml><?xml version="1.0" encoding="utf-8"?>
<sst xmlns="http://schemas.openxmlformats.org/spreadsheetml/2006/main" count="63" uniqueCount="43">
  <si>
    <t>Last_Name</t>
  </si>
  <si>
    <t>Department</t>
  </si>
  <si>
    <t>Salary</t>
  </si>
  <si>
    <t>City</t>
  </si>
  <si>
    <t>Hire_Date</t>
  </si>
  <si>
    <t>Sales</t>
  </si>
  <si>
    <t>John</t>
  </si>
  <si>
    <t>Smith</t>
  </si>
  <si>
    <t>IT</t>
  </si>
  <si>
    <t>London</t>
  </si>
  <si>
    <t>Emma</t>
  </si>
  <si>
    <t>Johnson</t>
  </si>
  <si>
    <t>HR</t>
  </si>
  <si>
    <t>Paris</t>
  </si>
  <si>
    <t>Michael</t>
  </si>
  <si>
    <t>Müller</t>
  </si>
  <si>
    <t>Finance</t>
  </si>
  <si>
    <t>Berlin</t>
  </si>
  <si>
    <t>Sophie</t>
  </si>
  <si>
    <t>Dupont</t>
  </si>
  <si>
    <t>Lyon</t>
  </si>
  <si>
    <t>Daniel</t>
  </si>
  <si>
    <t>Garcia</t>
  </si>
  <si>
    <t>Madrid</t>
  </si>
  <si>
    <t>Olivia</t>
  </si>
  <si>
    <t>Rossi</t>
  </si>
  <si>
    <t>Rome</t>
  </si>
  <si>
    <t>Lucas</t>
  </si>
  <si>
    <t>Kim</t>
  </si>
  <si>
    <t>Marketing</t>
  </si>
  <si>
    <t>Seoul</t>
  </si>
  <si>
    <t>Isabella</t>
  </si>
  <si>
    <t>Novak</t>
  </si>
  <si>
    <t>Vienna</t>
  </si>
  <si>
    <t>ID</t>
  </si>
  <si>
    <t>First name</t>
  </si>
  <si>
    <t>Average Salary</t>
  </si>
  <si>
    <t>Max Salary</t>
  </si>
  <si>
    <t>Min Salary</t>
  </si>
  <si>
    <t>Row Labels</t>
  </si>
  <si>
    <t>Grand Total</t>
  </si>
  <si>
    <t>Average of Salary</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</si>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</sst>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 fontId="0" fillId="0" borderId="0" xfId="0" applyNumberFormat="1"/>
    <xf numFmtId="49" fontId="0" fillId="0" borderId="0" xfId="0" applyNumberFormat="1"/>
    <xf numFmtId="16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9">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numFmt numFmtId="165" formatCode="&quot;$&quot;#,##0"/>
    </dxf>
    <dxf>
      <numFmt numFmtId="165" formatCode="&quot;$&quot;#,##0"/>
    </dxf>
    <dxf>
      <numFmt numFmtId="165" formatCode="&quot;$&quot;#,##0"/>
    </dxf>
    <dxf>
      <numFmt numFmtId="165" formatCode="&quot;$&quot;#,##0"/>
    </dxf>
    <dxf>
      <numFmt numFmtId="165" formatCode="&quot;$&quot;#,##0"/>
    </dxf>
    <dxf>
      <numFmt numFmtId="1" formatCode="0"/>
    </dxf>
    <dxf>
      <numFmt numFmtId="19" formatCode="m/d/yyyy"/>
    </dxf>
    <dxf>
      <numFmt numFmtId="30" formatCode="@"/>
    </dxf>
    <dxf>
      <numFmt numFmtId="1" formatCode="0"/>
    </dxf>
    <dxf>
      <numFmt numFmtId="30" formatCode="@"/>
    </dxf>
    <dxf>
      <numFmt numFmtId="30" formatCode="@"/>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[hr_analyst_project.xlsx]Sheet3!PivotTable1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Sales</c:v>
                </c:pt>
              </c:strCache>
            </c:strRef>
          </c:tx>
          <c:spPr>
            <a:solidFill>
              <a:schemeClr val="accent1"/>
            </a:solidFill>
            <a:ln>
              <a:noFill/>
            </a:ln>
            <a:effectLst/>
          </c:spPr>
          <c:invertIfNegative val="0"/>
          <c:cat>
            <c:strRef>
              <c:f>Sheet3!$A$4:$A$8</c:f>
              <c:strCache>
                <c:ptCount val="4"/>
                <c:pt idx="0">
                  <c:v>Finance</c:v>
                </c:pt>
                <c:pt idx="1">
                  <c:v>HR</c:v>
                </c:pt>
                <c:pt idx="2">
                  <c:v>IT</c:v>
                </c:pt>
                <c:pt idx="3">
                  <c:v>Marketing</c:v>
                </c:pt>
              </c:strCache>
            </c:strRef>
          </c:cat>
          <c:val>
            <c:numRef>
              <c:f>Sheet3!$B$4:$B$8</c:f>
              <c:numCache>
                <c:formatCode>0</c:formatCode>
                <c:ptCount val="4"/>
                <c:pt idx="0">
                  <c:v>15000</c:v>
                </c:pt>
                <c:pt idx="1">
                  <c:v>6500</c:v>
                </c:pt>
                <c:pt idx="2">
                  <c:v>15000</c:v>
                </c:pt>
                <c:pt idx="3">
                  <c:v>4000</c:v>
                </c:pt>
              </c:numCache>
            </c:numRef>
          </c:val>
          <c:extLst>
            <c:ext xmlns:c16="http://schemas.microsoft.com/office/drawing/2014/chart" uri="{C3380CC4-5D6E-409C-BE32-E72D297353CC}">
              <c16:uniqueId val="{00000000-06B0-4FD5-B1BB-933DD910CDE4}"/>
            </c:ext>
          </c:extLst>
        </c:ser>
        <c:ser>
          <c:idx val="1"/>
          <c:order val="1"/>
          <c:tx>
            <c:strRef>
              <c:f>Sheet3!$C$3</c:f>
              <c:strCache>
                <c:ptCount val="1"/>
                <c:pt idx="0">
                  <c:v>Average of Salary</c:v>
                </c:pt>
              </c:strCache>
            </c:strRef>
          </c:tx>
          <c:spPr>
            <a:solidFill>
              <a:schemeClr val="accent2"/>
            </a:solidFill>
            <a:ln>
              <a:noFill/>
            </a:ln>
            <a:effectLst/>
          </c:spPr>
          <c:invertIfNegative val="0"/>
          <c:cat>
            <c:strRef>
              <c:f>Sheet3!$A$4:$A$8</c:f>
              <c:strCache>
                <c:ptCount val="4"/>
                <c:pt idx="0">
                  <c:v>Finance</c:v>
                </c:pt>
                <c:pt idx="1">
                  <c:v>HR</c:v>
                </c:pt>
                <c:pt idx="2">
                  <c:v>IT</c:v>
                </c:pt>
                <c:pt idx="3">
                  <c:v>Marketing</c:v>
                </c:pt>
              </c:strCache>
            </c:strRef>
          </c:cat>
          <c:val>
            <c:numRef>
              <c:f>Sheet3!$C$4:$C$8</c:f>
              <c:numCache>
                <c:formatCode>"$"#,##0</c:formatCode>
                <c:ptCount val="4"/>
                <c:pt idx="0">
                  <c:v>3100</c:v>
                </c:pt>
                <c:pt idx="1">
                  <c:v>1850</c:v>
                </c:pt>
                <c:pt idx="2">
                  <c:v>2600</c:v>
                </c:pt>
                <c:pt idx="3">
                  <c:v>2100</c:v>
                </c:pt>
              </c:numCache>
            </c:numRef>
          </c:val>
          <c:extLst>
            <c:ext xmlns:c16="http://schemas.microsoft.com/office/drawing/2014/chart" uri="{C3380CC4-5D6E-409C-BE32-E72D297353CC}">
              <c16:uniqueId val="{00000001-06B0-4FD5-B1BB-933DD910CDE4}"/>
            </c:ext>
          </c:extLst>
        </c:ser>
        <c:dLbls>
          <c:showLegendKey val="0"/>
          <c:showVal val="0"/>
          <c:showCatName val="0"/>
          <c:showSerName val="0"/>
          <c:showPercent val="0"/>
          <c:showBubbleSize val="0"/>
        </c:dLbls>
        <c:gapWidth val="219"/>
        <c:overlap val="-27"/>
        <c:axId val="876775520"/>
        <c:axId val="1063051232"/>
      </c:barChart>
      <c:catAx>
        <c:axId val="87677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051232"/>
        <c:crosses val="autoZero"/>
        <c:auto val="1"/>
        <c:lblAlgn val="ctr"/>
        <c:lblOffset val="100"/>
        <c:noMultiLvlLbl val="0"/>
      </c:catAx>
      <c:valAx>
        <c:axId val="1063051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7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[hr_analyst_project.xlsx]Sheet3!PivotTable1</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Sheet3!$A$4:$A$8</c:f>
              <c:strCache>
                <c:ptCount val="4"/>
                <c:pt idx="0">
                  <c:v>Finance</c:v>
                </c:pt>
                <c:pt idx="1">
                  <c:v>HR</c:v>
                </c:pt>
                <c:pt idx="2">
                  <c:v>IT</c:v>
                </c:pt>
                <c:pt idx="3">
                  <c:v>Marketing</c:v>
                </c:pt>
              </c:strCache>
            </c:strRef>
          </c:cat>
          <c:val>
            <c:numRef>
              <c:f>Sheet3!$B$4:$B$8</c:f>
              <c:numCache>
                <c:formatCode>0</c:formatCode>
                <c:ptCount val="4"/>
                <c:pt idx="0">
                  <c:v>15000</c:v>
                </c:pt>
                <c:pt idx="1">
                  <c:v>6500</c:v>
                </c:pt>
                <c:pt idx="2">
                  <c:v>15000</c:v>
                </c:pt>
                <c:pt idx="3">
                  <c:v>4000</c:v>
                </c:pt>
              </c:numCache>
            </c:numRef>
          </c:val>
          <c:extLst>
            <c:ext xmlns:c16="http://schemas.microsoft.com/office/drawing/2014/chart" uri="{C3380CC4-5D6E-409C-BE32-E72D297353CC}">
              <c16:uniqueId val="{00000000-E054-4FD9-85EA-E9483B0997E9}"/>
            </c:ext>
          </c:extLst>
        </c:ser>
        <c:ser>
          <c:idx val="1"/>
          <c:order val="1"/>
          <c:tx>
            <c:strRef>
              <c:f>Sheet3!$C$3</c:f>
              <c:strCache>
                <c:ptCount val="1"/>
                <c:pt idx="0">
                  <c:v>Average of Salary</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Sheet3!$A$4:$A$8</c:f>
              <c:strCache>
                <c:ptCount val="4"/>
                <c:pt idx="0">
                  <c:v>Finance</c:v>
                </c:pt>
                <c:pt idx="1">
                  <c:v>HR</c:v>
                </c:pt>
                <c:pt idx="2">
                  <c:v>IT</c:v>
                </c:pt>
                <c:pt idx="3">
                  <c:v>Marketing</c:v>
                </c:pt>
              </c:strCache>
            </c:strRef>
          </c:cat>
          <c:val>
            <c:numRef>
              <c:f>Sheet3!$C$4:$C$8</c:f>
              <c:numCache>
                <c:formatCode>"$"#,##0</c:formatCode>
                <c:ptCount val="4"/>
                <c:pt idx="0">
                  <c:v>3100</c:v>
                </c:pt>
                <c:pt idx="1">
                  <c:v>1850</c:v>
                </c:pt>
                <c:pt idx="2">
                  <c:v>2600</c:v>
                </c:pt>
                <c:pt idx="3">
                  <c:v>2100</c:v>
                </c:pt>
              </c:numCache>
            </c:numRef>
          </c:val>
          <c:extLst>
            <c:ext xmlns:c16="http://schemas.microsoft.com/office/drawing/2014/chart" uri="{C3380CC4-5D6E-409C-BE32-E72D297353CC}">
              <c16:uniqueId val="{00000001-E054-4FD9-85EA-E9483B0997E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403860</xdr:colOff>
      <xdr:row>0</xdr:row>
      <xdr:rowOff>34290</xdr:rowOff>
    </xdr:from>
    <xdr:to>
      <xdr:col>9</xdr:col>
      <xdr:colOff>60960</xdr:colOff>
      <xdr:row>11</xdr:row>
      <xdr:rowOff>53340</xdr:rowOff>
    </xdr:to>
    <xdr:graphicFrame macro="">
      <xdr:nvGraphicFramePr>
        <xdr:cNvPr id="2" name="Chart 1">
          <a:extLst>
            <a:ext uri="{FF2B5EF4-FFF2-40B4-BE49-F238E27FC236}">
              <a16:creationId xmlns:a16="http://schemas.microsoft.com/office/drawing/2014/main" id="{E0E811E4-D4BC-C50B-88E5-8CDC06A2C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205740</xdr:colOff>
      <xdr:row>0</xdr:row>
      <xdr:rowOff>0</xdr:rowOff>
    </xdr:from>
    <xdr:to>
      <xdr:col>14</xdr:col>
      <xdr:colOff>472440</xdr:colOff>
      <xdr:row>11</xdr:row>
      <xdr:rowOff>30480</xdr:rowOff>
    </xdr:to>
    <xdr:graphicFrame macro="">
      <xdr:nvGraphicFramePr>
        <xdr:cNvPr id="3" name="Chart 2">
          <a:extLst>
            <a:ext uri="{FF2B5EF4-FFF2-40B4-BE49-F238E27FC236}">
              <a16:creationId xmlns:a16="http://schemas.microsoft.com/office/drawing/2014/main" id="{5D91B1B4-D499-B31C-961E-A7889476A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358140</xdr:colOff>
      <xdr:row>12</xdr:row>
      <xdr:rowOff>121920</xdr:rowOff>
    </xdr:from>
    <xdr:to>
      <xdr:col>7</xdr:col>
      <xdr:colOff>358140</xdr:colOff>
      <xdr:row>26</xdr:row>
      <xdr:rowOff>142875</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EB5EC87D-E3F8-B5A8-D738-12A8E17EBC0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649980" y="23164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91440</xdr:colOff>
      <xdr:row>12</xdr:row>
      <xdr:rowOff>129540</xdr:rowOff>
    </xdr:from>
    <xdr:to>
      <xdr:col>11</xdr:col>
      <xdr:colOff>91440</xdr:colOff>
      <xdr:row>26</xdr:row>
      <xdr:rowOff>150495</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3FD5ED9D-B985-9267-A355-4D600784BE1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821680" y="23241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2.61895891204" createdVersion="8" refreshedVersion="8" minRefreshableVersion="3" recordCount="8" xr:uid="{91DACC72-60A5-44E6-B927-FD070D5AE4E7}">
  <cacheSource type="worksheet">
    <worksheetSource name="Table1"/>
  </cacheSource>
  <cacheFields count="8">
    <cacheField name="ID" numFmtId="1">
      <sharedItems containsSemiMixedTypes="0" containsString="0" containsNumber="1" containsInteger="1" minValue="101" maxValue="108"/>
    </cacheField>
    <cacheField name="First name" numFmtId="1">
      <sharedItems count="8">
        <s v="John"/>
        <s v="Emma"/>
        <s v="Michael"/>
        <s v="Sophie"/>
        <s v="Daniel"/>
        <s v="Olivia"/>
        <s v="Lucas"/>
        <s v="Isabella"/>
      </sharedItems>
    </cacheField>
    <cacheField name="Last_Name" numFmtId="49">
      <sharedItems/>
    </cacheField>
    <cacheField name="Department" numFmtId="49">
      <sharedItems count="4">
        <s v="IT"/>
        <s v="HR"/>
        <s v="Finance"/>
        <s v="Marketing"/>
      </sharedItems>
    </cacheField>
    <cacheField name="City" numFmtId="49">
      <sharedItems count="8">
        <s v="London"/>
        <s v="Paris"/>
        <s v="Berlin"/>
        <s v="Lyon"/>
        <s v="Madrid"/>
        <s v="Rome"/>
        <s v="Seoul"/>
        <s v="Vienna"/>
      </sharedItems>
    </cacheField>
    <cacheField name="Sales" numFmtId="1">
      <sharedItems containsSemiMixedTypes="0" containsString="0" containsNumber="1" containsInteger="1" minValue="3000" maxValue="8000"/>
    </cacheField>
    <cacheField name="Salary" numFmtId="165">
      <sharedItems containsSemiMixedTypes="0" containsString="0" containsNumber="1" containsInteger="1" minValue="1800" maxValue="3200"/>
    </cacheField>
    <cacheField name="Hire_Date" numFmtId="14">
      <sharedItems containsSemiMixedTypes="0" containsNonDate="0" containsDate="1" containsString="0" minDate="2018-11-05T00:00:00" maxDate="2022-02-11T00:00:00"/>
    </cacheField>
  </cacheFields>
  <extLst>
    <ext xmlns:x14="http://schemas.microsoft.com/office/spreadsheetml/2009/9/main" uri="{725AE2AE-9491-48be-B2B4-4EB974FC3084}">
      <x14:pivotCacheDefinition pivotCacheId="862939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01"/>
    <x v="0"/>
    <s v="Smith"/>
    <x v="0"/>
    <x v="0"/>
    <n v="5000"/>
    <n v="2500"/>
    <d v="2020-01-15T00:00:00"/>
  </r>
  <r>
    <n v="102"/>
    <x v="1"/>
    <s v="Johnson"/>
    <x v="1"/>
    <x v="1"/>
    <n v="3000"/>
    <n v="1800"/>
    <d v="2019-03-20T00:00:00"/>
  </r>
  <r>
    <n v="103"/>
    <x v="2"/>
    <s v="Müller"/>
    <x v="2"/>
    <x v="2"/>
    <n v="7000"/>
    <n v="3000"/>
    <d v="2021-07-01T00:00:00"/>
  </r>
  <r>
    <n v="104"/>
    <x v="3"/>
    <s v="Dupont"/>
    <x v="0"/>
    <x v="3"/>
    <n v="4500"/>
    <n v="2700"/>
    <d v="2018-11-05T00:00:00"/>
  </r>
  <r>
    <n v="105"/>
    <x v="4"/>
    <s v="Garcia"/>
    <x v="2"/>
    <x v="4"/>
    <n v="8000"/>
    <n v="3200"/>
    <d v="2022-02-10T00:00:00"/>
  </r>
  <r>
    <n v="106"/>
    <x v="5"/>
    <s v="Rossi"/>
    <x v="1"/>
    <x v="5"/>
    <n v="3500"/>
    <n v="1900"/>
    <d v="2020-06-18T00:00:00"/>
  </r>
  <r>
    <n v="107"/>
    <x v="6"/>
    <s v="Kim"/>
    <x v="3"/>
    <x v="6"/>
    <n v="4000"/>
    <n v="2100"/>
    <d v="2021-09-30T00:00:00"/>
  </r>
  <r>
    <n v="108"/>
    <x v="7"/>
    <s v="Novak"/>
    <x v="0"/>
    <x v="7"/>
    <n v="5500"/>
    <n v="2600"/>
    <d v="2019-12-1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B5524C-1C41-4B24-8EBD-9354AA86995F}"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5:C24" firstHeaderRow="0" firstDataRow="1" firstDataCol="1"/>
  <pivotFields count="8">
    <pivotField numFmtId="1" showAll="0"/>
    <pivotField showAll="0">
      <items count="9">
        <item x="4"/>
        <item x="1"/>
        <item x="7"/>
        <item x="0"/>
        <item x="6"/>
        <item x="2"/>
        <item x="5"/>
        <item x="3"/>
        <item t="default"/>
      </items>
    </pivotField>
    <pivotField showAll="0"/>
    <pivotField showAll="0">
      <items count="5">
        <item x="2"/>
        <item x="1"/>
        <item x="0"/>
        <item x="3"/>
        <item t="default"/>
      </items>
    </pivotField>
    <pivotField axis="axisRow" showAll="0">
      <items count="9">
        <item x="2"/>
        <item x="0"/>
        <item x="3"/>
        <item x="4"/>
        <item x="1"/>
        <item x="5"/>
        <item x="6"/>
        <item x="7"/>
        <item t="default"/>
      </items>
    </pivotField>
    <pivotField dataField="1" numFmtId="1" showAll="0"/>
    <pivotField dataField="1" numFmtId="165" showAll="0"/>
    <pivotField numFmtId="14" showAll="0"/>
  </pivotFields>
  <rowFields count="1">
    <field x="4"/>
  </rowFields>
  <rowItems count="9">
    <i>
      <x/>
    </i>
    <i>
      <x v="1"/>
    </i>
    <i>
      <x v="2"/>
    </i>
    <i>
      <x v="3"/>
    </i>
    <i>
      <x v="4"/>
    </i>
    <i>
      <x v="5"/>
    </i>
    <i>
      <x v="6"/>
    </i>
    <i>
      <x v="7"/>
    </i>
    <i t="grand">
      <x/>
    </i>
  </rowItems>
  <colFields count="1">
    <field x="-2"/>
  </colFields>
  <colItems count="2">
    <i>
      <x/>
    </i>
    <i i="1">
      <x v="1"/>
    </i>
  </colItems>
  <dataFields count="2">
    <dataField name="Sum of Sales" fld="5" baseField="0" baseItem="0" numFmtId="1"/>
    <dataField name="Average of Salary" fld="6" subtotal="average" baseField="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A488C0-F5EB-4A50-9BFB-13EDC542BAE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C8" firstHeaderRow="0" firstDataRow="1" firstDataCol="1"/>
  <pivotFields count="8">
    <pivotField numFmtId="1" showAll="0"/>
    <pivotField showAll="0">
      <items count="9">
        <item x="4"/>
        <item x="1"/>
        <item x="7"/>
        <item x="0"/>
        <item x="6"/>
        <item x="2"/>
        <item x="5"/>
        <item x="3"/>
        <item t="default"/>
      </items>
    </pivotField>
    <pivotField showAll="0"/>
    <pivotField axis="axisRow" showAll="0">
      <items count="5">
        <item x="2"/>
        <item x="1"/>
        <item x="0"/>
        <item x="3"/>
        <item t="default"/>
      </items>
    </pivotField>
    <pivotField showAll="0">
      <items count="9">
        <item x="2"/>
        <item x="0"/>
        <item x="3"/>
        <item x="4"/>
        <item x="1"/>
        <item x="5"/>
        <item x="6"/>
        <item x="7"/>
        <item t="default"/>
      </items>
    </pivotField>
    <pivotField dataField="1" numFmtId="1" showAll="0"/>
    <pivotField dataField="1" numFmtId="165" showAll="0"/>
    <pivotField numFmtId="14" showAll="0"/>
  </pivotFields>
  <rowFields count="1">
    <field x="3"/>
  </rowFields>
  <rowItems count="5">
    <i>
      <x/>
    </i>
    <i>
      <x v="1"/>
    </i>
    <i>
      <x v="2"/>
    </i>
    <i>
      <x v="3"/>
    </i>
    <i t="grand">
      <x/>
    </i>
  </rowItems>
  <colFields count="1">
    <field x="-2"/>
  </colFields>
  <colItems count="2">
    <i>
      <x/>
    </i>
    <i i="1">
      <x v="1"/>
    </i>
  </colItems>
  <dataFields count="2">
    <dataField name="Sum of Sales" fld="5" baseField="0" baseItem="0" numFmtId="1"/>
    <dataField name="Average of Salary" fld="6" subtotal="average" baseField="3" baseItem="0" numFmtId="165"/>
  </dataFields>
  <chartFormats count="4">
    <chartFormat chart="9" format="0" series="1">
      <pivotArea type="data" outline="0" fieldPosition="0">
        <references count="1">
          <reference field="4294967294" count="1" selected="0">
            <x v="1"/>
          </reference>
        </references>
      </pivotArea>
    </chartFormat>
    <chartFormat chart="9"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1"/>
          </reference>
        </references>
      </pivotArea>
    </chartFormat>
    <chartFormat chart="2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4963644-53C8-4ABC-A175-042B17C709B9}" sourceName="Department">
  <pivotTables>
    <pivotTable tabId="3" name="PivotTable2"/>
    <pivotTable tabId="3" name="PivotTable1"/>
  </pivotTables>
  <data>
    <tabular pivotCacheId="86293959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E4481EF-CDCF-42C2-BD4B-20FB977B13CA}" sourceName="City">
  <pivotTables>
    <pivotTable tabId="3" name="PivotTable2"/>
    <pivotTable tabId="3" name="PivotTable1"/>
  </pivotTables>
  <data>
    <tabular pivotCacheId="862939591">
      <items count="8">
        <i x="2" s="1"/>
        <i x="0" s="1"/>
        <i x="3" s="1"/>
        <i x="4" s="1"/>
        <i x="1"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A84A0FA-400B-433B-B405-1EC8E20EF5CA}" cache="Slicer_Department" caption="Department" rowHeight="247650"/>
  <slicer name="City" xr10:uid="{2313E323-E61A-4636-8144-7AF7AC0B4D9C}" cache="Slicer_City" caption="Ci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632050-E7B7-48B9-8C6F-6031518E9C0E}" name="Table1" displayName="Table1" ref="A1:H9" totalsRowShown="0">
  <autoFilter ref="A1:H9" xr:uid="{5F632050-E7B7-48B9-8C6F-6031518E9C0E}"/>
  <tableColumns count="8">
    <tableColumn id="1" xr3:uid="{5BA460F6-44FD-47EC-83EA-E1BEE5694F10}" name="ID" dataDxfId="18"/>
    <tableColumn id="9" xr3:uid="{D21376C6-1A6F-4754-A03C-5C633C57A0B6}" name="First name" dataDxfId="15"/>
    <tableColumn id="3" xr3:uid="{1863213D-4712-4CE0-98A9-5CA8EB8EA83A}" name="Last_Name" dataDxfId="17"/>
    <tableColumn id="4" xr3:uid="{01257CE9-90D3-44EC-ACBF-77A22C35AAA7}" name="Department" dataDxfId="16"/>
    <tableColumn id="12" xr3:uid="{1612F708-AF96-40E1-8190-75A2DD6B261B}" name="City" dataDxfId="14"/>
    <tableColumn id="15" xr3:uid="{12193C1E-08D1-4D2C-8C67-F5FEDAC4B7CE}" name="Sales" dataDxfId="12"/>
    <tableColumn id="17" xr3:uid="{7465889C-5FC2-4A49-AE20-CE7A5DAA57A2}" name="Salary" dataDxfId="11"/>
    <tableColumn id="14" xr3:uid="{B0D6538D-AB88-4B2D-8D94-D9ED12E03B14}" name="Hire_Date" dataDxfId="1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967172-577F-49AF-A422-58B8EAD7C65A}" name="Table2" displayName="Table2" ref="K1:M2" totalsRowShown="0" headerRowDxfId="7">
  <autoFilter ref="K1:M2" xr:uid="{95967172-577F-49AF-A422-58B8EAD7C65A}"/>
  <tableColumns count="3">
    <tableColumn id="1" xr3:uid="{3FC88EE2-C97F-4FB8-BBF5-9287E667AAC0}" name="Average Salary" dataDxfId="10">
      <calculatedColumnFormula>SUM(Table1[[#All],[Salary]])</calculatedColumnFormula>
    </tableColumn>
    <tableColumn id="2" xr3:uid="{114815C5-3C86-4EF8-A56C-D836C6FF9A77}" name="Max Salary" dataDxfId="9">
      <calculatedColumnFormula>MAX(Table1[[#All],[Salary]])</calculatedColumnFormula>
    </tableColumn>
    <tableColumn id="3" xr3:uid="{9EA2BB75-68BF-412F-B880-D64538B2CF25}" name="Min Salary" dataDxfId="8">
      <calculatedColumnFormula>MIN(Table1[Salary])</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7DED-98C1-4283-BE91-BB3339B682B7}">
  <dimension ref="A3:C24"/>
  <sheetViews>
    <sheetView tabSelected="1" workbookViewId="0">
      <selection activeCell="C20" sqref="C20"/>
    </sheetView>
  </sheetViews>
  <sheetFormatPr defaultRowHeight="14.4" x14ac:dyDescent="0.3"/>
  <cols>
    <col min="1" max="1" width="12.44140625" bestFit="1" customWidth="1"/>
    <col min="2" max="2" width="11.5546875" bestFit="1" customWidth="1"/>
    <col min="3" max="3" width="15.109375" bestFit="1" customWidth="1"/>
  </cols>
  <sheetData>
    <row r="3" spans="1:3" x14ac:dyDescent="0.3">
      <c r="A3" s="5" t="s">
        <v>39</v>
      </c>
      <c r="B3" t="s">
        <v>42</v>
      </c>
      <c r="C3" t="s">
        <v>41</v>
      </c>
    </row>
    <row r="4" spans="1:3" x14ac:dyDescent="0.3">
      <c r="A4" s="6" t="s">
        <v>16</v>
      </c>
      <c r="B4" s="2">
        <v>15000</v>
      </c>
      <c r="C4" s="4">
        <v>3100</v>
      </c>
    </row>
    <row r="5" spans="1:3" x14ac:dyDescent="0.3">
      <c r="A5" s="6" t="s">
        <v>12</v>
      </c>
      <c r="B5" s="2">
        <v>6500</v>
      </c>
      <c r="C5" s="4">
        <v>1850</v>
      </c>
    </row>
    <row r="6" spans="1:3" x14ac:dyDescent="0.3">
      <c r="A6" s="6" t="s">
        <v>8</v>
      </c>
      <c r="B6" s="2">
        <v>15000</v>
      </c>
      <c r="C6" s="4">
        <v>2600</v>
      </c>
    </row>
    <row r="7" spans="1:3" x14ac:dyDescent="0.3">
      <c r="A7" s="6" t="s">
        <v>29</v>
      </c>
      <c r="B7" s="2">
        <v>4000</v>
      </c>
      <c r="C7" s="4">
        <v>2100</v>
      </c>
    </row>
    <row r="8" spans="1:3" x14ac:dyDescent="0.3">
      <c r="A8" s="6" t="s">
        <v>40</v>
      </c>
      <c r="B8" s="2">
        <v>40500</v>
      </c>
      <c r="C8" s="4">
        <v>2475</v>
      </c>
    </row>
    <row r="15" spans="1:3" x14ac:dyDescent="0.3">
      <c r="A15" s="5" t="s">
        <v>39</v>
      </c>
      <c r="B15" t="s">
        <v>42</v>
      </c>
      <c r="C15" t="s">
        <v>41</v>
      </c>
    </row>
    <row r="16" spans="1:3" x14ac:dyDescent="0.3">
      <c r="A16" s="6" t="s">
        <v>17</v>
      </c>
      <c r="B16" s="2">
        <v>7000</v>
      </c>
      <c r="C16" s="4">
        <v>3000</v>
      </c>
    </row>
    <row r="17" spans="1:3" x14ac:dyDescent="0.3">
      <c r="A17" s="6" t="s">
        <v>9</v>
      </c>
      <c r="B17" s="2">
        <v>5000</v>
      </c>
      <c r="C17" s="4">
        <v>2500</v>
      </c>
    </row>
    <row r="18" spans="1:3" x14ac:dyDescent="0.3">
      <c r="A18" s="6" t="s">
        <v>20</v>
      </c>
      <c r="B18" s="2">
        <v>4500</v>
      </c>
      <c r="C18" s="4">
        <v>2700</v>
      </c>
    </row>
    <row r="19" spans="1:3" x14ac:dyDescent="0.3">
      <c r="A19" s="6" t="s">
        <v>23</v>
      </c>
      <c r="B19" s="2">
        <v>8000</v>
      </c>
      <c r="C19" s="4">
        <v>3200</v>
      </c>
    </row>
    <row r="20" spans="1:3" x14ac:dyDescent="0.3">
      <c r="A20" s="6" t="s">
        <v>13</v>
      </c>
      <c r="B20" s="2">
        <v>3000</v>
      </c>
      <c r="C20" s="4">
        <v>1800</v>
      </c>
    </row>
    <row r="21" spans="1:3" x14ac:dyDescent="0.3">
      <c r="A21" s="6" t="s">
        <v>26</v>
      </c>
      <c r="B21" s="2">
        <v>3500</v>
      </c>
      <c r="C21" s="4">
        <v>1900</v>
      </c>
    </row>
    <row r="22" spans="1:3" x14ac:dyDescent="0.3">
      <c r="A22" s="6" t="s">
        <v>30</v>
      </c>
      <c r="B22" s="2">
        <v>4000</v>
      </c>
      <c r="C22" s="4">
        <v>2100</v>
      </c>
    </row>
    <row r="23" spans="1:3" x14ac:dyDescent="0.3">
      <c r="A23" s="6" t="s">
        <v>33</v>
      </c>
      <c r="B23" s="2">
        <v>5500</v>
      </c>
      <c r="C23" s="4">
        <v>2600</v>
      </c>
    </row>
    <row r="24" spans="1:3" x14ac:dyDescent="0.3">
      <c r="A24" s="6" t="s">
        <v>40</v>
      </c>
      <c r="B24" s="2">
        <v>40500</v>
      </c>
      <c r="C24" s="4">
        <v>2475</v>
      </c>
    </row>
  </sheetData>
  <conditionalFormatting sqref="C3">
    <cfRule type="cellIs" dxfId="3" priority="6" operator="lessThan">
      <formula>8000</formula>
    </cfRule>
  </conditionalFormatting>
  <conditionalFormatting sqref="C3">
    <cfRule type="iconSet" priority="5">
      <iconSet iconSet="3Arrows">
        <cfvo type="percent" val="0"/>
        <cfvo type="percent" val="33"/>
        <cfvo type="percent" val="67"/>
      </iconSet>
    </cfRule>
  </conditionalFormatting>
  <conditionalFormatting sqref="C15">
    <cfRule type="cellIs" dxfId="2" priority="4" operator="lessThan">
      <formula>8000</formula>
    </cfRule>
  </conditionalFormatting>
  <conditionalFormatting sqref="C15">
    <cfRule type="iconSet" priority="3">
      <iconSet iconSet="3Arrows">
        <cfvo type="percent" val="0"/>
        <cfvo type="percent" val="33"/>
        <cfvo type="percent" val="67"/>
      </iconSet>
    </cfRule>
  </conditionalFormatting>
  <conditionalFormatting sqref="B15:B23">
    <cfRule type="iconSet" priority="2">
      <iconSet iconSet="4Arrows">
        <cfvo type="percent" val="0"/>
        <cfvo type="percent" val="25"/>
        <cfvo type="percent" val="50"/>
        <cfvo type="percent" val="75"/>
      </iconSet>
    </cfRule>
  </conditionalFormatting>
  <conditionalFormatting sqref="B3:B7">
    <cfRule type="iconSet" priority="1">
      <iconSet iconSet="4Arrows">
        <cfvo type="percent" val="0"/>
        <cfvo type="percent" val="25"/>
        <cfvo type="percent" val="50"/>
        <cfvo type="percent" val="75"/>
      </iconSet>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A3B0C-3D4D-4325-BC51-618512AEA85D}">
  <dimension ref="A1:M10"/>
  <sheetViews>
    <sheetView workbookViewId="0">
      <pane ySplit="1" topLeftCell="A2" activePane="bottomLeft" state="frozen"/>
      <selection pane="bottomLeft" activeCell="C32" sqref="C32"/>
    </sheetView>
  </sheetViews>
  <sheetFormatPr defaultRowHeight="14.4" x14ac:dyDescent="0.3"/>
  <cols>
    <col min="1" max="1" width="6" style="2" customWidth="1"/>
    <col min="2" max="2" width="10.109375" style="2" customWidth="1"/>
    <col min="3" max="3" width="12.109375" style="3" customWidth="1"/>
    <col min="4" max="4" width="9.109375" style="4" bestFit="1" customWidth="1"/>
    <col min="5" max="7" width="9.109375" style="4" customWidth="1"/>
    <col min="8" max="8" width="10.21875" style="4" customWidth="1"/>
    <col min="11" max="11" width="15" style="4" customWidth="1"/>
    <col min="12" max="12" width="11.77734375" style="4" customWidth="1"/>
    <col min="13" max="13" width="11.44140625" style="4" customWidth="1"/>
  </cols>
  <sheetData>
    <row r="1" spans="1:13" x14ac:dyDescent="0.3">
      <c r="A1" s="2" t="s">
        <v>34</v>
      </c>
      <c r="B1" s="2" t="s">
        <v>35</v>
      </c>
      <c r="C1" s="3" t="s">
        <v>0</v>
      </c>
      <c r="D1" s="3" t="s">
        <v>1</v>
      </c>
      <c r="E1" s="3" t="s">
        <v>3</v>
      </c>
      <c r="F1" s="2" t="s">
        <v>5</v>
      </c>
      <c r="G1" s="4" t="s">
        <v>2</v>
      </c>
      <c r="H1" s="1" t="s">
        <v>4</v>
      </c>
      <c r="K1" s="4" t="s">
        <v>36</v>
      </c>
      <c r="L1" s="4" t="s">
        <v>37</v>
      </c>
      <c r="M1" s="4" t="s">
        <v>38</v>
      </c>
    </row>
    <row r="2" spans="1:13" x14ac:dyDescent="0.3">
      <c r="A2" s="2">
        <v>101</v>
      </c>
      <c r="B2" s="2" t="s">
        <v>6</v>
      </c>
      <c r="C2" s="3" t="s">
        <v>7</v>
      </c>
      <c r="D2" s="3" t="s">
        <v>8</v>
      </c>
      <c r="E2" s="3" t="s">
        <v>9</v>
      </c>
      <c r="F2" s="2">
        <v>5000</v>
      </c>
      <c r="G2" s="4">
        <v>2500</v>
      </c>
      <c r="H2" s="1">
        <v>43845</v>
      </c>
      <c r="K2" s="4">
        <f>SUM(Table1[[#All],[Salary]])</f>
        <v>19800</v>
      </c>
      <c r="L2" s="4">
        <f>MAX(Table1[[#All],[Salary]])</f>
        <v>3200</v>
      </c>
      <c r="M2" s="4">
        <f>MIN(Table1[Salary])</f>
        <v>1800</v>
      </c>
    </row>
    <row r="3" spans="1:13" x14ac:dyDescent="0.3">
      <c r="A3" s="2">
        <v>102</v>
      </c>
      <c r="B3" s="2" t="s">
        <v>10</v>
      </c>
      <c r="C3" s="3" t="s">
        <v>11</v>
      </c>
      <c r="D3" s="3" t="s">
        <v>12</v>
      </c>
      <c r="E3" s="3" t="s">
        <v>13</v>
      </c>
      <c r="F3" s="2">
        <v>3000</v>
      </c>
      <c r="G3" s="4">
        <v>1800</v>
      </c>
      <c r="H3" s="1">
        <v>43544</v>
      </c>
    </row>
    <row r="4" spans="1:13" x14ac:dyDescent="0.3">
      <c r="A4" s="2">
        <v>103</v>
      </c>
      <c r="B4" s="2" t="s">
        <v>14</v>
      </c>
      <c r="C4" s="3" t="s">
        <v>15</v>
      </c>
      <c r="D4" s="3" t="s">
        <v>16</v>
      </c>
      <c r="E4" s="3" t="s">
        <v>17</v>
      </c>
      <c r="F4" s="2">
        <v>7000</v>
      </c>
      <c r="G4" s="4">
        <v>3000</v>
      </c>
      <c r="H4" s="1">
        <v>44378</v>
      </c>
    </row>
    <row r="5" spans="1:13" x14ac:dyDescent="0.3">
      <c r="A5" s="2">
        <v>104</v>
      </c>
      <c r="B5" s="2" t="s">
        <v>18</v>
      </c>
      <c r="C5" s="3" t="s">
        <v>19</v>
      </c>
      <c r="D5" s="3" t="s">
        <v>8</v>
      </c>
      <c r="E5" s="3" t="s">
        <v>20</v>
      </c>
      <c r="F5" s="2">
        <v>4500</v>
      </c>
      <c r="G5" s="4">
        <v>2700</v>
      </c>
      <c r="H5" s="1">
        <v>43409</v>
      </c>
    </row>
    <row r="6" spans="1:13" x14ac:dyDescent="0.3">
      <c r="A6" s="2">
        <v>105</v>
      </c>
      <c r="B6" s="2" t="s">
        <v>21</v>
      </c>
      <c r="C6" s="3" t="s">
        <v>22</v>
      </c>
      <c r="D6" s="3" t="s">
        <v>16</v>
      </c>
      <c r="E6" s="3" t="s">
        <v>23</v>
      </c>
      <c r="F6" s="2">
        <v>8000</v>
      </c>
      <c r="G6" s="4">
        <v>3200</v>
      </c>
      <c r="H6" s="1">
        <v>44602</v>
      </c>
    </row>
    <row r="7" spans="1:13" x14ac:dyDescent="0.3">
      <c r="A7" s="2">
        <v>106</v>
      </c>
      <c r="B7" s="2" t="s">
        <v>24</v>
      </c>
      <c r="C7" s="3" t="s">
        <v>25</v>
      </c>
      <c r="D7" s="3" t="s">
        <v>12</v>
      </c>
      <c r="E7" s="3" t="s">
        <v>26</v>
      </c>
      <c r="F7" s="2">
        <v>3500</v>
      </c>
      <c r="G7" s="4">
        <v>1900</v>
      </c>
      <c r="H7" s="1">
        <v>44000</v>
      </c>
    </row>
    <row r="8" spans="1:13" x14ac:dyDescent="0.3">
      <c r="A8" s="2">
        <v>107</v>
      </c>
      <c r="B8" s="2" t="s">
        <v>27</v>
      </c>
      <c r="C8" s="3" t="s">
        <v>28</v>
      </c>
      <c r="D8" s="3" t="s">
        <v>29</v>
      </c>
      <c r="E8" s="3" t="s">
        <v>30</v>
      </c>
      <c r="F8" s="2">
        <v>4000</v>
      </c>
      <c r="G8" s="4">
        <v>2100</v>
      </c>
      <c r="H8" s="1">
        <v>44469</v>
      </c>
    </row>
    <row r="9" spans="1:13" x14ac:dyDescent="0.3">
      <c r="A9" s="2">
        <v>108</v>
      </c>
      <c r="B9" s="2" t="s">
        <v>31</v>
      </c>
      <c r="C9" s="3" t="s">
        <v>32</v>
      </c>
      <c r="D9" s="3" t="s">
        <v>8</v>
      </c>
      <c r="E9" s="3" t="s">
        <v>33</v>
      </c>
      <c r="F9" s="2">
        <v>5500</v>
      </c>
      <c r="G9" s="4">
        <v>2600</v>
      </c>
      <c r="H9" s="1">
        <v>43811</v>
      </c>
    </row>
    <row r="10" spans="1:13" x14ac:dyDescent="0.3">
      <c r="D10" s="3"/>
      <c r="E10" s="3"/>
      <c r="F10" s="2"/>
      <c r="H10" s="1"/>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12B39-417C-488B-868C-D629A254095D}">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melekxanim musayeva</dc:creator>
  <cp:lastModifiedBy>melekxanim musayeva</cp:lastModifiedBy>
  <dcterms:created xsi:type="dcterms:W3CDTF">2026-02-19T09:07:29Z</dcterms:created>
  <dcterms:modified xsi:type="dcterms:W3CDTF">2026-02-19T11:20:32Z</dcterms:modified>
</cp:coreProperties>
</file>